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01" codeName="{2AF44A5B-4F9A-30C1-5B58-47010ADB2D0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noah\MartinBlog\content\images\"/>
    </mc:Choice>
  </mc:AlternateContent>
  <xr:revisionPtr revIDLastSave="0" documentId="8_{1475195E-8696-4A36-AD7A-B1E7B4087B14}" xr6:coauthVersionLast="38" xr6:coauthVersionMax="38" xr10:uidLastSave="{00000000-0000-0000-0000-000000000000}"/>
  <bookViews>
    <workbookView xWindow="0" yWindow="0" windowWidth="23040" windowHeight="8532" activeTab="1" xr2:uid="{8007A5BA-DD69-4D73-B714-0C1899513F8A}"/>
  </bookViews>
  <sheets>
    <sheet name="Sheet2" sheetId="2" r:id="rId1"/>
    <sheet name="Sheet1" sheetId="1" r:id="rId2"/>
  </sheets>
  <functionGroups builtInGroupCount="19"/>
  <definedNames>
    <definedName name="_xlnm._FilterDatabase" localSheetId="1" hidden="1">Sheet1!$A$1:$D$45</definedName>
  </definedNames>
  <calcPr calcId="181029"/>
  <pivotCaches>
    <pivotCache cacheId="0" r:id="rId3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5" i="1" l="1"/>
  <c r="G4" i="1"/>
  <c r="H4" i="1"/>
  <c r="I4" i="1"/>
  <c r="J4" i="1"/>
  <c r="K4" i="1"/>
  <c r="L4" i="1"/>
  <c r="G5" i="1"/>
  <c r="H5" i="1"/>
  <c r="I5" i="1"/>
  <c r="J5" i="1"/>
  <c r="K5" i="1"/>
  <c r="D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M5" i="1"/>
  <c r="M4" i="1"/>
</calcChain>
</file>

<file path=xl/sharedStrings.xml><?xml version="1.0" encoding="utf-8"?>
<sst xmlns="http://schemas.openxmlformats.org/spreadsheetml/2006/main" count="61" uniqueCount="14">
  <si>
    <t>Volunteer</t>
  </si>
  <si>
    <t>Date</t>
  </si>
  <si>
    <t>Minutes</t>
  </si>
  <si>
    <t>Sally</t>
  </si>
  <si>
    <t>Frank</t>
  </si>
  <si>
    <t>Week#</t>
  </si>
  <si>
    <t>Name</t>
  </si>
  <si>
    <t>Minutes Offered</t>
  </si>
  <si>
    <t>Week Number</t>
  </si>
  <si>
    <t>Row Labels</t>
  </si>
  <si>
    <t>Grand Total</t>
  </si>
  <si>
    <t>Column Labels</t>
  </si>
  <si>
    <t>Sum of Minutes</t>
  </si>
  <si>
    <t>Unused Minutes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</si>
</sst>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14" fontId="0" fillId="0" borderId="0" xfId="0" applyNumberFormat="1"/>
    <xf numFmtId="0" fontId="0" fillId="0" borderId="0" xfId="0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1" fillId="2" borderId="1" xfId="0" applyFont="1" applyFill="1" applyBorder="1"/>
    <xf numFmtId="0" fontId="1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right"/>
    </xf>
    <xf numFmtId="0" fontId="2" fillId="2" borderId="1" xfId="0" applyFont="1" applyFill="1" applyBorder="1" applyAlignment="1">
      <alignment horizontal="center"/>
    </xf>
    <xf numFmtId="0" fontId="0" fillId="0" borderId="2" xfId="0" applyBorder="1" applyAlignment="1">
      <alignment horizontal="center" wrapText="1"/>
    </xf>
    <xf numFmtId="0" fontId="0" fillId="0" borderId="3" xfId="0" applyBorder="1" applyAlignment="1">
      <alignment horizont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tin noah" refreshedDate="43433.472676504629" createdVersion="6" refreshedVersion="6" minRefreshableVersion="3" recordCount="44" xr:uid="{CC7286F8-4A9A-4149-BC58-64AB984D6522}">
  <cacheSource type="worksheet">
    <worksheetSource ref="A1:D45" sheet="Sheet1"/>
  </cacheSource>
  <cacheFields count="4">
    <cacheField name="Volunteer" numFmtId="0">
      <sharedItems count="2">
        <s v="Sally"/>
        <s v="Frank"/>
      </sharedItems>
    </cacheField>
    <cacheField name="Date" numFmtId="14">
      <sharedItems containsSemiMixedTypes="0" containsNonDate="0" containsDate="1" containsString="0" minDate="2018-02-12T00:00:00" maxDate="2018-03-24T00:00:00"/>
    </cacheField>
    <cacheField name="Minutes" numFmtId="0">
      <sharedItems containsSemiMixedTypes="0" containsString="0" containsNumber="1" containsInteger="1" minValue="100" maxValue="1300"/>
    </cacheField>
    <cacheField name="Week#" numFmtId="0">
      <sharedItems containsSemiMixedTypes="0" containsString="0" containsNumber="1" containsInteger="1" minValue="7" maxValue="12" count="6">
        <n v="7"/>
        <n v="8"/>
        <n v="9"/>
        <n v="10"/>
        <n v="11"/>
        <n v="12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4">
  <r>
    <x v="0"/>
    <d v="2018-02-12T00:00:00"/>
    <n v="800"/>
    <x v="0"/>
  </r>
  <r>
    <x v="1"/>
    <d v="2018-02-12T00:00:00"/>
    <n v="985"/>
    <x v="0"/>
  </r>
  <r>
    <x v="0"/>
    <d v="2018-02-13T00:00:00"/>
    <n v="360"/>
    <x v="0"/>
  </r>
  <r>
    <x v="1"/>
    <d v="2018-02-13T00:00:00"/>
    <n v="360"/>
    <x v="0"/>
  </r>
  <r>
    <x v="0"/>
    <d v="2018-02-14T00:00:00"/>
    <n v="360"/>
    <x v="0"/>
  </r>
  <r>
    <x v="1"/>
    <d v="2018-02-14T00:00:00"/>
    <n v="360"/>
    <x v="0"/>
  </r>
  <r>
    <x v="0"/>
    <d v="2018-02-16T00:00:00"/>
    <n v="360"/>
    <x v="0"/>
  </r>
  <r>
    <x v="1"/>
    <d v="2018-02-16T00:00:00"/>
    <n v="360"/>
    <x v="0"/>
  </r>
  <r>
    <x v="0"/>
    <d v="2018-02-20T00:00:00"/>
    <n v="360"/>
    <x v="1"/>
  </r>
  <r>
    <x v="1"/>
    <d v="2018-02-20T00:00:00"/>
    <n v="360"/>
    <x v="1"/>
  </r>
  <r>
    <x v="0"/>
    <d v="2018-02-21T00:00:00"/>
    <n v="375"/>
    <x v="1"/>
  </r>
  <r>
    <x v="1"/>
    <d v="2018-02-21T00:00:00"/>
    <n v="375"/>
    <x v="1"/>
  </r>
  <r>
    <x v="0"/>
    <d v="2018-02-22T00:00:00"/>
    <n v="360"/>
    <x v="1"/>
  </r>
  <r>
    <x v="1"/>
    <d v="2018-02-22T00:00:00"/>
    <n v="360"/>
    <x v="1"/>
  </r>
  <r>
    <x v="0"/>
    <d v="2018-02-23T00:00:00"/>
    <n v="360"/>
    <x v="1"/>
  </r>
  <r>
    <x v="1"/>
    <d v="2018-02-23T00:00:00"/>
    <n v="100"/>
    <x v="1"/>
  </r>
  <r>
    <x v="0"/>
    <d v="2018-02-26T00:00:00"/>
    <n v="355"/>
    <x v="2"/>
  </r>
  <r>
    <x v="1"/>
    <d v="2018-02-26T00:00:00"/>
    <n v="1300"/>
    <x v="2"/>
  </r>
  <r>
    <x v="0"/>
    <d v="2018-02-27T00:00:00"/>
    <n v="900"/>
    <x v="2"/>
  </r>
  <r>
    <x v="1"/>
    <d v="2018-02-27T00:00:00"/>
    <n v="360"/>
    <x v="2"/>
  </r>
  <r>
    <x v="0"/>
    <d v="2018-02-28T00:00:00"/>
    <n v="650"/>
    <x v="2"/>
  </r>
  <r>
    <x v="1"/>
    <d v="2018-02-28T00:00:00"/>
    <n v="360"/>
    <x v="2"/>
  </r>
  <r>
    <x v="0"/>
    <d v="2018-03-03T00:00:00"/>
    <n v="360"/>
    <x v="2"/>
  </r>
  <r>
    <x v="1"/>
    <d v="2018-03-03T00:00:00"/>
    <n v="450"/>
    <x v="2"/>
  </r>
  <r>
    <x v="0"/>
    <d v="2018-03-05T00:00:00"/>
    <n v="1000"/>
    <x v="3"/>
  </r>
  <r>
    <x v="1"/>
    <d v="2018-03-05T00:00:00"/>
    <n v="500"/>
    <x v="3"/>
  </r>
  <r>
    <x v="0"/>
    <d v="2018-03-07T00:00:00"/>
    <n v="300"/>
    <x v="3"/>
  </r>
  <r>
    <x v="1"/>
    <d v="2018-03-07T00:00:00"/>
    <n v="475"/>
    <x v="3"/>
  </r>
  <r>
    <x v="0"/>
    <d v="2018-03-09T00:00:00"/>
    <n v="360"/>
    <x v="3"/>
  </r>
  <r>
    <x v="1"/>
    <d v="2018-03-09T00:00:00"/>
    <n v="855"/>
    <x v="3"/>
  </r>
  <r>
    <x v="0"/>
    <d v="2018-03-11T00:00:00"/>
    <n v="450"/>
    <x v="4"/>
  </r>
  <r>
    <x v="1"/>
    <d v="2018-03-11T00:00:00"/>
    <n v="360"/>
    <x v="4"/>
  </r>
  <r>
    <x v="0"/>
    <d v="2018-03-13T00:00:00"/>
    <n v="200"/>
    <x v="4"/>
  </r>
  <r>
    <x v="1"/>
    <d v="2018-03-13T00:00:00"/>
    <n v="890"/>
    <x v="4"/>
  </r>
  <r>
    <x v="0"/>
    <d v="2018-03-15T00:00:00"/>
    <n v="700"/>
    <x v="4"/>
  </r>
  <r>
    <x v="1"/>
    <d v="2018-03-15T00:00:00"/>
    <n v="100"/>
    <x v="4"/>
  </r>
  <r>
    <x v="0"/>
    <d v="2018-03-17T00:00:00"/>
    <n v="800"/>
    <x v="4"/>
  </r>
  <r>
    <x v="1"/>
    <d v="2018-03-17T00:00:00"/>
    <n v="360"/>
    <x v="4"/>
  </r>
  <r>
    <x v="0"/>
    <d v="2018-03-19T00:00:00"/>
    <n v="355"/>
    <x v="5"/>
  </r>
  <r>
    <x v="1"/>
    <d v="2018-03-19T00:00:00"/>
    <n v="400"/>
    <x v="5"/>
  </r>
  <r>
    <x v="0"/>
    <d v="2018-03-21T00:00:00"/>
    <n v="360"/>
    <x v="5"/>
  </r>
  <r>
    <x v="1"/>
    <d v="2018-03-21T00:00:00"/>
    <n v="1200"/>
    <x v="5"/>
  </r>
  <r>
    <x v="0"/>
    <d v="2018-03-23T00:00:00"/>
    <n v="360"/>
    <x v="5"/>
  </r>
  <r>
    <x v="1"/>
    <d v="2018-03-23T00:00:00"/>
    <n v="360"/>
    <x v="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8E35091-329B-42A3-ABB0-4240F1F886BD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H7" firstHeaderRow="1" firstDataRow="2" firstDataCol="1"/>
  <pivotFields count="4">
    <pivotField axis="axisRow" showAll="0">
      <items count="3">
        <item x="1"/>
        <item x="0"/>
        <item t="default"/>
      </items>
    </pivotField>
    <pivotField numFmtId="14" showAll="0"/>
    <pivotField dataField="1" showAll="0"/>
    <pivotField axis="axisCol" showAll="0">
      <items count="7">
        <item x="0"/>
        <item x="1"/>
        <item x="2"/>
        <item x="3"/>
        <item x="4"/>
        <item x="5"/>
        <item t="default"/>
      </items>
    </pivotField>
  </pivotFields>
  <rowFields count="1">
    <field x="0"/>
  </rowFields>
  <rowItems count="3">
    <i>
      <x/>
    </i>
    <i>
      <x v="1"/>
    </i>
    <i t="grand">
      <x/>
    </i>
  </rowItems>
  <colFields count="1">
    <field x="3"/>
  </colFields>
  <colItems count="7">
    <i>
      <x/>
    </i>
    <i>
      <x v="1"/>
    </i>
    <i>
      <x v="2"/>
    </i>
    <i>
      <x v="3"/>
    </i>
    <i>
      <x v="4"/>
    </i>
    <i>
      <x v="5"/>
    </i>
    <i t="grand">
      <x/>
    </i>
  </colItems>
  <dataFields count="1">
    <dataField name="Sum of Minutes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C36D02-7244-4281-9F3D-D2EFD4EE2FC2}">
  <sheetPr codeName="Sheet1"/>
  <dimension ref="A3:H7"/>
  <sheetViews>
    <sheetView workbookViewId="0">
      <selection activeCell="C4" sqref="C4"/>
    </sheetView>
  </sheetViews>
  <sheetFormatPr defaultRowHeight="14.4" x14ac:dyDescent="0.3"/>
  <cols>
    <col min="1" max="1" width="14.44140625" bestFit="1" customWidth="1"/>
    <col min="2" max="2" width="15.5546875" bestFit="1" customWidth="1"/>
    <col min="3" max="7" width="5" bestFit="1" customWidth="1"/>
    <col min="8" max="8" width="10.77734375" bestFit="1" customWidth="1"/>
  </cols>
  <sheetData>
    <row r="3" spans="1:8" x14ac:dyDescent="0.3">
      <c r="A3" s="5" t="s">
        <v>12</v>
      </c>
      <c r="B3" s="5" t="s">
        <v>11</v>
      </c>
    </row>
    <row r="4" spans="1:8" x14ac:dyDescent="0.3">
      <c r="A4" s="5" t="s">
        <v>9</v>
      </c>
      <c r="B4">
        <v>7</v>
      </c>
      <c r="C4">
        <v>8</v>
      </c>
      <c r="D4">
        <v>9</v>
      </c>
      <c r="E4">
        <v>10</v>
      </c>
      <c r="F4">
        <v>11</v>
      </c>
      <c r="G4">
        <v>12</v>
      </c>
      <c r="H4" t="s">
        <v>10</v>
      </c>
    </row>
    <row r="5" spans="1:8" x14ac:dyDescent="0.3">
      <c r="A5" s="6" t="s">
        <v>4</v>
      </c>
      <c r="B5" s="7">
        <v>2065</v>
      </c>
      <c r="C5" s="7">
        <v>1195</v>
      </c>
      <c r="D5" s="7">
        <v>2470</v>
      </c>
      <c r="E5" s="7">
        <v>1830</v>
      </c>
      <c r="F5" s="7">
        <v>1710</v>
      </c>
      <c r="G5" s="7">
        <v>1960</v>
      </c>
      <c r="H5" s="7">
        <v>11230</v>
      </c>
    </row>
    <row r="6" spans="1:8" x14ac:dyDescent="0.3">
      <c r="A6" s="6" t="s">
        <v>3</v>
      </c>
      <c r="B6" s="7">
        <v>1880</v>
      </c>
      <c r="C6" s="7">
        <v>1455</v>
      </c>
      <c r="D6" s="7">
        <v>2265</v>
      </c>
      <c r="E6" s="7">
        <v>1660</v>
      </c>
      <c r="F6" s="7">
        <v>2150</v>
      </c>
      <c r="G6" s="7">
        <v>1075</v>
      </c>
      <c r="H6" s="7">
        <v>10485</v>
      </c>
    </row>
    <row r="7" spans="1:8" x14ac:dyDescent="0.3">
      <c r="A7" s="6" t="s">
        <v>10</v>
      </c>
      <c r="B7" s="7">
        <v>3945</v>
      </c>
      <c r="C7" s="7">
        <v>2650</v>
      </c>
      <c r="D7" s="7">
        <v>4735</v>
      </c>
      <c r="E7" s="7">
        <v>3490</v>
      </c>
      <c r="F7" s="7">
        <v>3860</v>
      </c>
      <c r="G7" s="7">
        <v>3035</v>
      </c>
      <c r="H7" s="7">
        <v>21715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27EC0-B397-4109-8A6E-FABAB315854A}">
  <sheetPr codeName="Sheet2"/>
  <dimension ref="A1:M45"/>
  <sheetViews>
    <sheetView tabSelected="1" workbookViewId="0">
      <selection activeCell="E2" sqref="E2"/>
    </sheetView>
  </sheetViews>
  <sheetFormatPr defaultRowHeight="14.4" x14ac:dyDescent="0.3"/>
  <cols>
    <col min="2" max="2" width="10.5546875" bestFit="1" customWidth="1"/>
    <col min="6" max="6" width="14.33203125" customWidth="1"/>
    <col min="9" max="9" width="8.88671875" style="2"/>
    <col min="13" max="13" width="14.44140625" style="2" customWidth="1"/>
  </cols>
  <sheetData>
    <row r="1" spans="1:13" ht="14.4" customHeight="1" x14ac:dyDescent="0.3">
      <c r="A1" t="s">
        <v>0</v>
      </c>
      <c r="B1" t="s">
        <v>1</v>
      </c>
      <c r="C1" t="s">
        <v>2</v>
      </c>
      <c r="D1" t="s">
        <v>5</v>
      </c>
      <c r="G1" s="12" t="s">
        <v>8</v>
      </c>
      <c r="H1" s="13"/>
      <c r="I1" s="13"/>
      <c r="J1" s="13"/>
      <c r="K1" s="13"/>
      <c r="L1" s="13"/>
    </row>
    <row r="2" spans="1:13" x14ac:dyDescent="0.3">
      <c r="A2" t="s">
        <v>3</v>
      </c>
      <c r="B2" s="1">
        <v>43143</v>
      </c>
      <c r="C2">
        <v>800</v>
      </c>
      <c r="D2">
        <f>WEEKNUM(B2)</f>
        <v>7</v>
      </c>
      <c r="F2" s="8" t="s">
        <v>6</v>
      </c>
      <c r="G2" s="9">
        <v>7</v>
      </c>
      <c r="H2" s="9">
        <v>8</v>
      </c>
      <c r="I2" s="9">
        <v>9</v>
      </c>
      <c r="J2" s="9">
        <v>10</v>
      </c>
      <c r="K2" s="9">
        <v>11</v>
      </c>
      <c r="L2" s="9">
        <v>12</v>
      </c>
    </row>
    <row r="3" spans="1:13" x14ac:dyDescent="0.3">
      <c r="A3" t="s">
        <v>4</v>
      </c>
      <c r="B3" s="1">
        <v>43143</v>
      </c>
      <c r="C3">
        <v>985</v>
      </c>
      <c r="D3">
        <f t="shared" ref="D3:D45" si="0">WEEKNUM(B3)</f>
        <v>7</v>
      </c>
      <c r="F3" s="10" t="s">
        <v>7</v>
      </c>
      <c r="G3" s="11">
        <v>1800</v>
      </c>
      <c r="H3" s="11">
        <v>1440</v>
      </c>
      <c r="I3" s="11">
        <v>1800</v>
      </c>
      <c r="J3" s="11">
        <v>1800</v>
      </c>
      <c r="K3" s="11">
        <v>1800</v>
      </c>
      <c r="L3" s="11">
        <v>1800</v>
      </c>
      <c r="M3" s="4" t="s">
        <v>13</v>
      </c>
    </row>
    <row r="4" spans="1:13" x14ac:dyDescent="0.3">
      <c r="A4" t="s">
        <v>3</v>
      </c>
      <c r="B4" s="1">
        <v>43144</v>
      </c>
      <c r="C4">
        <v>360</v>
      </c>
      <c r="D4">
        <f t="shared" si="0"/>
        <v>7</v>
      </c>
      <c r="F4" s="3" t="s">
        <v>3</v>
      </c>
      <c r="G4" s="4">
        <f t="shared" ref="G4:L5" si="1">SUMIFS($C:$C,$A:$A,$F4,$D:$D,G$2)</f>
        <v>1880</v>
      </c>
      <c r="H4" s="4">
        <f t="shared" si="1"/>
        <v>1455</v>
      </c>
      <c r="I4" s="4">
        <f t="shared" si="1"/>
        <v>2265</v>
      </c>
      <c r="J4" s="4">
        <f t="shared" si="1"/>
        <v>1660</v>
      </c>
      <c r="K4" s="4">
        <f t="shared" si="1"/>
        <v>2150</v>
      </c>
      <c r="L4" s="4">
        <f t="shared" si="1"/>
        <v>1075</v>
      </c>
      <c r="M4" s="4">
        <f>UNDERMINUTES(G4:L4)</f>
        <v>865</v>
      </c>
    </row>
    <row r="5" spans="1:13" x14ac:dyDescent="0.3">
      <c r="A5" t="s">
        <v>4</v>
      </c>
      <c r="B5" s="1">
        <v>43144</v>
      </c>
      <c r="C5">
        <v>360</v>
      </c>
      <c r="D5">
        <f t="shared" si="0"/>
        <v>7</v>
      </c>
      <c r="F5" s="3" t="s">
        <v>4</v>
      </c>
      <c r="G5" s="4">
        <f t="shared" si="1"/>
        <v>2065</v>
      </c>
      <c r="H5" s="4">
        <f t="shared" si="1"/>
        <v>1195</v>
      </c>
      <c r="I5" s="4">
        <f t="shared" si="1"/>
        <v>2470</v>
      </c>
      <c r="J5" s="4">
        <f t="shared" si="1"/>
        <v>1830</v>
      </c>
      <c r="K5" s="4">
        <f t="shared" si="1"/>
        <v>1710</v>
      </c>
      <c r="L5" s="4">
        <f t="shared" si="1"/>
        <v>1960</v>
      </c>
      <c r="M5" s="4">
        <f>UNDERMINUTES(G5:L5)</f>
        <v>335</v>
      </c>
    </row>
    <row r="6" spans="1:13" x14ac:dyDescent="0.3">
      <c r="A6" t="s">
        <v>3</v>
      </c>
      <c r="B6" s="1">
        <v>43145</v>
      </c>
      <c r="C6">
        <v>360</v>
      </c>
      <c r="D6">
        <f t="shared" si="0"/>
        <v>7</v>
      </c>
      <c r="I6"/>
    </row>
    <row r="7" spans="1:13" x14ac:dyDescent="0.3">
      <c r="A7" t="s">
        <v>4</v>
      </c>
      <c r="B7" s="1">
        <v>43145</v>
      </c>
      <c r="C7">
        <v>360</v>
      </c>
      <c r="D7">
        <f t="shared" si="0"/>
        <v>7</v>
      </c>
    </row>
    <row r="8" spans="1:13" x14ac:dyDescent="0.3">
      <c r="A8" t="s">
        <v>3</v>
      </c>
      <c r="B8" s="1">
        <v>43147</v>
      </c>
      <c r="C8">
        <v>360</v>
      </c>
      <c r="D8">
        <f t="shared" si="0"/>
        <v>7</v>
      </c>
    </row>
    <row r="9" spans="1:13" x14ac:dyDescent="0.3">
      <c r="A9" t="s">
        <v>4</v>
      </c>
      <c r="B9" s="1">
        <v>43147</v>
      </c>
      <c r="C9">
        <v>360</v>
      </c>
      <c r="D9">
        <f t="shared" si="0"/>
        <v>7</v>
      </c>
    </row>
    <row r="10" spans="1:13" x14ac:dyDescent="0.3">
      <c r="A10" t="s">
        <v>3</v>
      </c>
      <c r="B10" s="1">
        <v>43151</v>
      </c>
      <c r="C10">
        <v>360</v>
      </c>
      <c r="D10">
        <f t="shared" si="0"/>
        <v>8</v>
      </c>
    </row>
    <row r="11" spans="1:13" x14ac:dyDescent="0.3">
      <c r="A11" t="s">
        <v>4</v>
      </c>
      <c r="B11" s="1">
        <v>43151</v>
      </c>
      <c r="C11">
        <v>360</v>
      </c>
      <c r="D11">
        <f t="shared" si="0"/>
        <v>8</v>
      </c>
    </row>
    <row r="12" spans="1:13" x14ac:dyDescent="0.3">
      <c r="A12" t="s">
        <v>3</v>
      </c>
      <c r="B12" s="1">
        <v>43152</v>
      </c>
      <c r="C12">
        <v>375</v>
      </c>
      <c r="D12">
        <f t="shared" si="0"/>
        <v>8</v>
      </c>
    </row>
    <row r="13" spans="1:13" x14ac:dyDescent="0.3">
      <c r="A13" t="s">
        <v>4</v>
      </c>
      <c r="B13" s="1">
        <v>43152</v>
      </c>
      <c r="C13">
        <v>375</v>
      </c>
      <c r="D13">
        <f t="shared" si="0"/>
        <v>8</v>
      </c>
    </row>
    <row r="14" spans="1:13" x14ac:dyDescent="0.3">
      <c r="A14" t="s">
        <v>3</v>
      </c>
      <c r="B14" s="1">
        <v>43153</v>
      </c>
      <c r="C14">
        <v>360</v>
      </c>
      <c r="D14">
        <f t="shared" si="0"/>
        <v>8</v>
      </c>
    </row>
    <row r="15" spans="1:13" x14ac:dyDescent="0.3">
      <c r="A15" t="s">
        <v>4</v>
      </c>
      <c r="B15" s="1">
        <v>43153</v>
      </c>
      <c r="C15">
        <v>360</v>
      </c>
      <c r="D15">
        <f t="shared" si="0"/>
        <v>8</v>
      </c>
    </row>
    <row r="16" spans="1:13" x14ac:dyDescent="0.3">
      <c r="A16" t="s">
        <v>3</v>
      </c>
      <c r="B16" s="1">
        <v>43154</v>
      </c>
      <c r="C16">
        <v>360</v>
      </c>
      <c r="D16">
        <f t="shared" si="0"/>
        <v>8</v>
      </c>
    </row>
    <row r="17" spans="1:4" x14ac:dyDescent="0.3">
      <c r="A17" t="s">
        <v>4</v>
      </c>
      <c r="B17" s="1">
        <v>43154</v>
      </c>
      <c r="C17">
        <v>100</v>
      </c>
      <c r="D17">
        <f t="shared" si="0"/>
        <v>8</v>
      </c>
    </row>
    <row r="18" spans="1:4" x14ac:dyDescent="0.3">
      <c r="A18" t="s">
        <v>3</v>
      </c>
      <c r="B18" s="1">
        <v>43157</v>
      </c>
      <c r="C18">
        <v>355</v>
      </c>
      <c r="D18">
        <f t="shared" si="0"/>
        <v>9</v>
      </c>
    </row>
    <row r="19" spans="1:4" x14ac:dyDescent="0.3">
      <c r="A19" t="s">
        <v>4</v>
      </c>
      <c r="B19" s="1">
        <v>43157</v>
      </c>
      <c r="C19">
        <v>1300</v>
      </c>
      <c r="D19">
        <f t="shared" si="0"/>
        <v>9</v>
      </c>
    </row>
    <row r="20" spans="1:4" x14ac:dyDescent="0.3">
      <c r="A20" t="s">
        <v>3</v>
      </c>
      <c r="B20" s="1">
        <v>43158</v>
      </c>
      <c r="C20">
        <v>900</v>
      </c>
      <c r="D20">
        <f t="shared" si="0"/>
        <v>9</v>
      </c>
    </row>
    <row r="21" spans="1:4" x14ac:dyDescent="0.3">
      <c r="A21" t="s">
        <v>4</v>
      </c>
      <c r="B21" s="1">
        <v>43158</v>
      </c>
      <c r="C21">
        <v>360</v>
      </c>
      <c r="D21">
        <f t="shared" si="0"/>
        <v>9</v>
      </c>
    </row>
    <row r="22" spans="1:4" x14ac:dyDescent="0.3">
      <c r="A22" t="s">
        <v>3</v>
      </c>
      <c r="B22" s="1">
        <v>43159</v>
      </c>
      <c r="C22">
        <v>650</v>
      </c>
      <c r="D22">
        <f t="shared" si="0"/>
        <v>9</v>
      </c>
    </row>
    <row r="23" spans="1:4" x14ac:dyDescent="0.3">
      <c r="A23" t="s">
        <v>4</v>
      </c>
      <c r="B23" s="1">
        <v>43159</v>
      </c>
      <c r="C23">
        <v>360</v>
      </c>
      <c r="D23">
        <f t="shared" si="0"/>
        <v>9</v>
      </c>
    </row>
    <row r="24" spans="1:4" x14ac:dyDescent="0.3">
      <c r="A24" t="s">
        <v>3</v>
      </c>
      <c r="B24" s="1">
        <v>43162</v>
      </c>
      <c r="C24">
        <v>360</v>
      </c>
      <c r="D24">
        <f t="shared" si="0"/>
        <v>9</v>
      </c>
    </row>
    <row r="25" spans="1:4" x14ac:dyDescent="0.3">
      <c r="A25" t="s">
        <v>4</v>
      </c>
      <c r="B25" s="1">
        <v>43162</v>
      </c>
      <c r="C25">
        <v>450</v>
      </c>
      <c r="D25">
        <f t="shared" si="0"/>
        <v>9</v>
      </c>
    </row>
    <row r="26" spans="1:4" x14ac:dyDescent="0.3">
      <c r="A26" t="s">
        <v>3</v>
      </c>
      <c r="B26" s="1">
        <v>43164</v>
      </c>
      <c r="C26">
        <v>1000</v>
      </c>
      <c r="D26">
        <f t="shared" si="0"/>
        <v>10</v>
      </c>
    </row>
    <row r="27" spans="1:4" x14ac:dyDescent="0.3">
      <c r="A27" t="s">
        <v>4</v>
      </c>
      <c r="B27" s="1">
        <v>43164</v>
      </c>
      <c r="C27">
        <v>500</v>
      </c>
      <c r="D27">
        <f t="shared" si="0"/>
        <v>10</v>
      </c>
    </row>
    <row r="28" spans="1:4" x14ac:dyDescent="0.3">
      <c r="A28" t="s">
        <v>3</v>
      </c>
      <c r="B28" s="1">
        <v>43166</v>
      </c>
      <c r="C28">
        <v>300</v>
      </c>
      <c r="D28">
        <f t="shared" si="0"/>
        <v>10</v>
      </c>
    </row>
    <row r="29" spans="1:4" x14ac:dyDescent="0.3">
      <c r="A29" t="s">
        <v>4</v>
      </c>
      <c r="B29" s="1">
        <v>43166</v>
      </c>
      <c r="C29">
        <v>475</v>
      </c>
      <c r="D29">
        <f t="shared" si="0"/>
        <v>10</v>
      </c>
    </row>
    <row r="30" spans="1:4" x14ac:dyDescent="0.3">
      <c r="A30" t="s">
        <v>3</v>
      </c>
      <c r="B30" s="1">
        <v>43168</v>
      </c>
      <c r="C30">
        <v>360</v>
      </c>
      <c r="D30">
        <f t="shared" si="0"/>
        <v>10</v>
      </c>
    </row>
    <row r="31" spans="1:4" x14ac:dyDescent="0.3">
      <c r="A31" t="s">
        <v>4</v>
      </c>
      <c r="B31" s="1">
        <v>43168</v>
      </c>
      <c r="C31">
        <v>855</v>
      </c>
      <c r="D31">
        <f t="shared" si="0"/>
        <v>10</v>
      </c>
    </row>
    <row r="32" spans="1:4" x14ac:dyDescent="0.3">
      <c r="A32" t="s">
        <v>3</v>
      </c>
      <c r="B32" s="1">
        <v>43170</v>
      </c>
      <c r="C32">
        <v>450</v>
      </c>
      <c r="D32">
        <f t="shared" si="0"/>
        <v>11</v>
      </c>
    </row>
    <row r="33" spans="1:4" x14ac:dyDescent="0.3">
      <c r="A33" t="s">
        <v>4</v>
      </c>
      <c r="B33" s="1">
        <v>43170</v>
      </c>
      <c r="C33">
        <v>360</v>
      </c>
      <c r="D33">
        <f t="shared" si="0"/>
        <v>11</v>
      </c>
    </row>
    <row r="34" spans="1:4" x14ac:dyDescent="0.3">
      <c r="A34" t="s">
        <v>3</v>
      </c>
      <c r="B34" s="1">
        <v>43172</v>
      </c>
      <c r="C34">
        <v>200</v>
      </c>
      <c r="D34">
        <f t="shared" si="0"/>
        <v>11</v>
      </c>
    </row>
    <row r="35" spans="1:4" x14ac:dyDescent="0.3">
      <c r="A35" t="s">
        <v>4</v>
      </c>
      <c r="B35" s="1">
        <v>43172</v>
      </c>
      <c r="C35">
        <v>890</v>
      </c>
      <c r="D35">
        <f t="shared" si="0"/>
        <v>11</v>
      </c>
    </row>
    <row r="36" spans="1:4" x14ac:dyDescent="0.3">
      <c r="A36" t="s">
        <v>3</v>
      </c>
      <c r="B36" s="1">
        <v>43174</v>
      </c>
      <c r="C36">
        <v>700</v>
      </c>
      <c r="D36">
        <f t="shared" si="0"/>
        <v>11</v>
      </c>
    </row>
    <row r="37" spans="1:4" x14ac:dyDescent="0.3">
      <c r="A37" t="s">
        <v>4</v>
      </c>
      <c r="B37" s="1">
        <v>43174</v>
      </c>
      <c r="C37">
        <v>100</v>
      </c>
      <c r="D37">
        <f t="shared" si="0"/>
        <v>11</v>
      </c>
    </row>
    <row r="38" spans="1:4" x14ac:dyDescent="0.3">
      <c r="A38" t="s">
        <v>3</v>
      </c>
      <c r="B38" s="1">
        <v>43176</v>
      </c>
      <c r="C38">
        <v>800</v>
      </c>
      <c r="D38">
        <f t="shared" si="0"/>
        <v>11</v>
      </c>
    </row>
    <row r="39" spans="1:4" x14ac:dyDescent="0.3">
      <c r="A39" t="s">
        <v>4</v>
      </c>
      <c r="B39" s="1">
        <v>43176</v>
      </c>
      <c r="C39">
        <v>360</v>
      </c>
      <c r="D39">
        <f t="shared" si="0"/>
        <v>11</v>
      </c>
    </row>
    <row r="40" spans="1:4" x14ac:dyDescent="0.3">
      <c r="A40" t="s">
        <v>3</v>
      </c>
      <c r="B40" s="1">
        <v>43178</v>
      </c>
      <c r="C40">
        <v>355</v>
      </c>
      <c r="D40">
        <f t="shared" si="0"/>
        <v>12</v>
      </c>
    </row>
    <row r="41" spans="1:4" x14ac:dyDescent="0.3">
      <c r="A41" t="s">
        <v>4</v>
      </c>
      <c r="B41" s="1">
        <v>43178</v>
      </c>
      <c r="C41">
        <v>400</v>
      </c>
      <c r="D41">
        <f t="shared" si="0"/>
        <v>12</v>
      </c>
    </row>
    <row r="42" spans="1:4" x14ac:dyDescent="0.3">
      <c r="A42" t="s">
        <v>3</v>
      </c>
      <c r="B42" s="1">
        <v>43180</v>
      </c>
      <c r="C42">
        <v>360</v>
      </c>
      <c r="D42">
        <f t="shared" si="0"/>
        <v>12</v>
      </c>
    </row>
    <row r="43" spans="1:4" x14ac:dyDescent="0.3">
      <c r="A43" t="s">
        <v>4</v>
      </c>
      <c r="B43" s="1">
        <v>43180</v>
      </c>
      <c r="C43">
        <v>1200</v>
      </c>
      <c r="D43">
        <f t="shared" si="0"/>
        <v>12</v>
      </c>
    </row>
    <row r="44" spans="1:4" x14ac:dyDescent="0.3">
      <c r="A44" t="s">
        <v>3</v>
      </c>
      <c r="B44" s="1">
        <v>43182</v>
      </c>
      <c r="C44">
        <v>360</v>
      </c>
      <c r="D44">
        <f t="shared" si="0"/>
        <v>12</v>
      </c>
    </row>
    <row r="45" spans="1:4" x14ac:dyDescent="0.3">
      <c r="A45" t="s">
        <v>4</v>
      </c>
      <c r="B45" s="1">
        <v>43182</v>
      </c>
      <c r="C45">
        <v>360</v>
      </c>
      <c r="D45">
        <f t="shared" si="0"/>
        <v>12</v>
      </c>
    </row>
  </sheetData>
  <autoFilter ref="A1:D45" xr:uid="{38F102C8-8705-4955-B8B8-57CBE737B812}"/>
  <mergeCells count="1">
    <mergeCell ref="G1:L1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Sheet2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noah</dc:creator>
  <cp:lastModifiedBy>martin noah</cp:lastModifiedBy>
  <dcterms:created xsi:type="dcterms:W3CDTF">2018-11-29T11:51:14Z</dcterms:created>
  <dcterms:modified xsi:type="dcterms:W3CDTF">2018-11-30T11:57:16Z</dcterms:modified>
</cp:coreProperties>
</file>